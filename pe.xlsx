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d3819b25c4f7b2/Documents/"/>
    </mc:Choice>
  </mc:AlternateContent>
  <xr:revisionPtr revIDLastSave="7" documentId="8_{DE907B91-D319-4BE4-8121-31CFEB96D165}" xr6:coauthVersionLast="47" xr6:coauthVersionMax="47" xr10:uidLastSave="{448DB690-C055-4050-98AA-F2E660C91C22}"/>
  <bookViews>
    <workbookView xWindow="-110" yWindow="-110" windowWidth="19420" windowHeight="10300" activeTab="2" xr2:uid="{6162249D-628E-4E6E-8886-9C136517256C}"/>
  </bookViews>
  <sheets>
    <sheet name="Ramsay (IFRS)" sheetId="1" r:id="rId1"/>
    <sheet name="AKDITAL" sheetId="2" r:id="rId2"/>
    <sheet name="pont EBITD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H5" i="3"/>
  <c r="B17" i="3"/>
  <c r="F7" i="3"/>
  <c r="G7" i="3"/>
  <c r="B7" i="3"/>
  <c r="G8" i="3"/>
  <c r="H6" i="3"/>
  <c r="B18" i="3"/>
  <c r="B15" i="3"/>
  <c r="H3" i="3"/>
  <c r="G3" i="3"/>
  <c r="F3" i="3"/>
  <c r="B5" i="3"/>
  <c r="B6" i="3"/>
  <c r="B4" i="3"/>
  <c r="G15" i="2"/>
  <c r="I15" i="2"/>
  <c r="D23" i="2"/>
  <c r="I13" i="2" s="1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B24" i="2"/>
  <c r="B23" i="2"/>
  <c r="B22" i="2"/>
  <c r="B21" i="2"/>
  <c r="G10" i="2" s="1"/>
  <c r="B20" i="2"/>
  <c r="B19" i="2"/>
  <c r="B18" i="2"/>
  <c r="B17" i="2"/>
  <c r="B16" i="2"/>
  <c r="B15" i="2"/>
  <c r="B14" i="2"/>
  <c r="B13" i="2"/>
  <c r="B12" i="2"/>
  <c r="G5" i="2" s="1"/>
  <c r="G6" i="2" s="1"/>
  <c r="B11" i="2"/>
  <c r="B10" i="2"/>
  <c r="B9" i="2"/>
  <c r="G4" i="2" s="1"/>
  <c r="B8" i="2"/>
  <c r="B7" i="2"/>
  <c r="B6" i="2"/>
  <c r="B5" i="2"/>
  <c r="B4" i="2"/>
  <c r="B3" i="2"/>
  <c r="H15" i="2"/>
  <c r="C11" i="2"/>
  <c r="C24" i="2"/>
  <c r="C23" i="2"/>
  <c r="C22" i="2"/>
  <c r="C21" i="2"/>
  <c r="H10" i="2" s="1"/>
  <c r="C12" i="2"/>
  <c r="C20" i="2"/>
  <c r="C19" i="2"/>
  <c r="C18" i="2"/>
  <c r="C17" i="2"/>
  <c r="C16" i="2"/>
  <c r="C15" i="2"/>
  <c r="C14" i="2"/>
  <c r="C13" i="2"/>
  <c r="C10" i="2"/>
  <c r="C9" i="2"/>
  <c r="H4" i="2" s="1"/>
  <c r="C8" i="2"/>
  <c r="C7" i="2"/>
  <c r="C6" i="2"/>
  <c r="C5" i="2"/>
  <c r="C4" i="2"/>
  <c r="C3" i="2"/>
  <c r="H12" i="1"/>
  <c r="H11" i="1"/>
  <c r="H5" i="1"/>
  <c r="H6" i="1"/>
  <c r="H7" i="1"/>
  <c r="H8" i="1"/>
  <c r="H9" i="1"/>
  <c r="H10" i="1"/>
  <c r="H4" i="1"/>
  <c r="H3" i="1"/>
  <c r="F6" i="1"/>
  <c r="G3" i="1"/>
  <c r="F3" i="1"/>
  <c r="F4" i="1"/>
  <c r="F5" i="1" s="1"/>
  <c r="G11" i="1"/>
  <c r="F9" i="1"/>
  <c r="F11" i="1"/>
  <c r="G6" i="1"/>
  <c r="G7" i="1"/>
  <c r="G8" i="1"/>
  <c r="G10" i="1"/>
  <c r="G9" i="1"/>
  <c r="F10" i="1"/>
  <c r="F8" i="1"/>
  <c r="F7" i="1"/>
  <c r="G4" i="1"/>
  <c r="B8" i="3" l="1"/>
  <c r="G9" i="2"/>
  <c r="I9" i="2"/>
  <c r="G12" i="2"/>
  <c r="I4" i="2"/>
  <c r="I10" i="2"/>
  <c r="G8" i="2"/>
  <c r="G7" i="2"/>
  <c r="I12" i="2"/>
  <c r="I11" i="2"/>
  <c r="G11" i="2"/>
  <c r="I5" i="2"/>
  <c r="I14" i="2"/>
  <c r="H13" i="2"/>
  <c r="H14" i="2" s="1"/>
  <c r="G13" i="2"/>
  <c r="G14" i="2" s="1"/>
  <c r="I8" i="2"/>
  <c r="I7" i="2"/>
  <c r="H8" i="2"/>
  <c r="H5" i="2"/>
  <c r="H6" i="2" s="1"/>
  <c r="H9" i="2"/>
  <c r="H7" i="2"/>
  <c r="H12" i="2"/>
  <c r="H11" i="2"/>
  <c r="G5" i="1"/>
  <c r="B11" i="3" l="1"/>
  <c r="B12" i="3" s="1"/>
  <c r="B16" i="3" s="1"/>
  <c r="H4" i="3" s="1"/>
  <c r="H7" i="3" s="1"/>
  <c r="H13" i="3"/>
  <c r="I13" i="3" s="1"/>
  <c r="J13" i="3" s="1"/>
  <c r="H15" i="3"/>
  <c r="I15" i="3" s="1"/>
  <c r="J15" i="3" s="1"/>
  <c r="H14" i="3"/>
  <c r="I6" i="2"/>
  <c r="H8" i="3" l="1"/>
  <c r="I14" i="3"/>
  <c r="J14" i="3" s="1"/>
</calcChain>
</file>

<file path=xl/sharedStrings.xml><?xml version="1.0" encoding="utf-8"?>
<sst xmlns="http://schemas.openxmlformats.org/spreadsheetml/2006/main" count="128" uniqueCount="112">
  <si>
    <t xml:space="preserve">Achats consommes </t>
  </si>
  <si>
    <t>Excedent brut d exploitation (EBE)</t>
  </si>
  <si>
    <t>Amortissements</t>
  </si>
  <si>
    <t>Resultat Net par Group</t>
  </si>
  <si>
    <t>Actifs non courants</t>
  </si>
  <si>
    <t>Stocks</t>
  </si>
  <si>
    <t>Clients</t>
  </si>
  <si>
    <t>Tresorerie et equivalents</t>
  </si>
  <si>
    <t>Total Capitaux propres</t>
  </si>
  <si>
    <t>Passifs non courants</t>
  </si>
  <si>
    <t xml:space="preserve">Fournisseurs </t>
  </si>
  <si>
    <t>Flux net generes par l activite</t>
  </si>
  <si>
    <t>Montant en (MEU)</t>
  </si>
  <si>
    <t>Indices calcule en (MEU)</t>
  </si>
  <si>
    <t>BFR</t>
  </si>
  <si>
    <t>FR</t>
  </si>
  <si>
    <t>TN</t>
  </si>
  <si>
    <t>DSO</t>
  </si>
  <si>
    <t>DIO</t>
  </si>
  <si>
    <t>DPO</t>
  </si>
  <si>
    <t>Taux de conversion</t>
  </si>
  <si>
    <t>Capex/Amortissements</t>
  </si>
  <si>
    <t>Marge d EBITDA</t>
  </si>
  <si>
    <t>Investissements corporels et incorporels(Capex)</t>
  </si>
  <si>
    <t>Actifs courants</t>
  </si>
  <si>
    <t>Passifs courants</t>
  </si>
  <si>
    <t>Dettes financieres courantes</t>
  </si>
  <si>
    <t>Dettes sur engagements</t>
  </si>
  <si>
    <t>Dettes de location courantes</t>
  </si>
  <si>
    <t>Variation</t>
  </si>
  <si>
    <t>Stocks et en-cours</t>
  </si>
  <si>
    <t>Clients et comptes rattachés</t>
  </si>
  <si>
    <t>Autres créances</t>
  </si>
  <si>
    <t>Fournisseurs et comptes rattachés</t>
  </si>
  <si>
    <t>Autres dettes</t>
  </si>
  <si>
    <t>Actif circulant</t>
  </si>
  <si>
    <t>Passif circulant</t>
  </si>
  <si>
    <t>Achats et autres charges externes</t>
  </si>
  <si>
    <t>Capitaux propres de l’ensemble consolidé</t>
  </si>
  <si>
    <t>Dettes de financement</t>
  </si>
  <si>
    <t>Provisions pour risques et charges</t>
  </si>
  <si>
    <t>Impôts différés passifs</t>
  </si>
  <si>
    <t>Actif immobilisé</t>
  </si>
  <si>
    <t>Trésorerie - actif</t>
  </si>
  <si>
    <t>Trésorerie - passif</t>
  </si>
  <si>
    <t>Flux net de Trésorerie généré par l'activité</t>
  </si>
  <si>
    <t>Charges de personnel</t>
  </si>
  <si>
    <t>Montant en (MDH)</t>
  </si>
  <si>
    <t>Indices calcule en (MDH)</t>
  </si>
  <si>
    <t>TN (DU BILAN )</t>
  </si>
  <si>
    <t>EBITDA</t>
  </si>
  <si>
    <t>RÉSULTAT D’EXPLOITATION</t>
  </si>
  <si>
    <t>Dotations d’exploitation, nettes des reprises et TC</t>
  </si>
  <si>
    <t xml:space="preserve">Capex </t>
  </si>
  <si>
    <t>Acquisition des immobilisations incorporelles</t>
  </si>
  <si>
    <t>Acquisition des immobilisations corporelles</t>
  </si>
  <si>
    <t>Résultat de l’exercice</t>
  </si>
  <si>
    <t>Chiffre d affaires</t>
  </si>
  <si>
    <t>Valeur</t>
  </si>
  <si>
    <t>Source</t>
  </si>
  <si>
    <t>Capacité litière fin 2024</t>
  </si>
  <si>
    <t>Lits ouverts en 2024</t>
  </si>
  <si>
    <t>Capacité litière fin 2023</t>
  </si>
  <si>
    <t>RFA 2024 p.24</t>
  </si>
  <si>
    <t>RFA 2024 p.18-20, somme des 12</t>
  </si>
  <si>
    <t>CPC consolidé</t>
  </si>
  <si>
    <t>CA 2024 (MMADH)</t>
  </si>
  <si>
    <t>CA 2023 (MMADH)</t>
  </si>
  <si>
    <t xml:space="preserve">CA par lit mature 2023(MMADH) </t>
  </si>
  <si>
    <t>Coefficient de maturité</t>
  </si>
  <si>
    <t>Marge d'EBITDA retenue</t>
  </si>
  <si>
    <t>Potentiel annuel</t>
  </si>
  <si>
    <t>Part déjà réalisée (6/12)</t>
  </si>
  <si>
    <t>hypothèse — voir note</t>
  </si>
  <si>
    <t>hypothèse ouvertures uniformes</t>
  </si>
  <si>
    <t>EBITDA reporté</t>
  </si>
  <si>
    <t>Pro forma ouvertures</t>
  </si>
  <si>
    <t>EBITDA normalisé</t>
  </si>
  <si>
    <t>Type</t>
  </si>
  <si>
    <t>Ref</t>
  </si>
  <si>
    <t>comptes consolidés</t>
  </si>
  <si>
    <t>A1</t>
  </si>
  <si>
    <t>Ajustement net(A1)</t>
  </si>
  <si>
    <t>Soft</t>
  </si>
  <si>
    <r>
      <t>Méthode retenue :</t>
    </r>
    <r>
      <rPr>
        <sz val="11"/>
        <color theme="1"/>
        <rFont val="Aptos Narrow"/>
        <family val="2"/>
        <scheme val="minor"/>
      </rPr>
      <t xml:space="preserve"> L'ajustement est modélisé par la capacité litière additionnelle (1 402 lits ouverts en 2024) appliquée à un chiffre d'affaires étalon normatif par lit issu du parc existant 2023.</t>
    </r>
  </si>
  <si>
    <r>
      <t>Exclusion de la Marge à 25 % :</t>
    </r>
    <r>
      <rPr>
        <sz val="11"/>
        <color theme="1"/>
        <rFont val="Aptos Narrow"/>
        <family val="2"/>
        <scheme val="minor"/>
      </rPr>
      <t xml:space="preserve"> Une marge de 25 % est écartée car elle est trop proche de la marge de croisière du groupe et néglige le poids des coûts fixes de démarrage.</t>
    </r>
  </si>
  <si>
    <r>
      <t>Traitement du Double Comptage :</t>
    </r>
    <r>
      <rPr>
        <sz val="11"/>
        <color theme="1"/>
        <rFont val="Aptos Narrow"/>
        <family val="2"/>
        <scheme val="minor"/>
      </rPr>
      <t xml:space="preserve"> L'ajustement brut (125,4 MMAD sur 12 mois) est neutralisé de la part déjà enregistrée en 2024 (estimée à 6/12ème sous l'hypothèse d'une ouverture uniforme), soit un </t>
    </r>
    <r>
      <rPr>
        <b/>
        <sz val="11"/>
        <color theme="1"/>
        <rFont val="Aptos Narrow"/>
        <family val="2"/>
        <scheme val="minor"/>
      </rPr>
      <t>ajustement net central de +62,7 MMAD</t>
    </r>
    <r>
      <rPr>
        <sz val="11"/>
        <color theme="1"/>
        <rFont val="Aptos Narrow"/>
        <family val="2"/>
        <scheme val="minor"/>
      </rPr>
      <t xml:space="preserve"> (fourchette de +43,5 à +89,4 MMAD).</t>
    </r>
  </si>
  <si>
    <r>
      <t>Limites :</t>
    </r>
    <r>
      <rPr>
        <sz val="11"/>
        <color theme="1"/>
        <rFont val="Aptos Narrow"/>
        <family val="2"/>
        <scheme val="minor"/>
      </rPr>
      <t xml:space="preserve"> Cet ajustement constitue une estimation d'ordre de grandeur en l'absence de ventilation détaillée par établissement communiquée par le vendeur.</t>
    </r>
  </si>
  <si>
    <t>Scenario</t>
  </si>
  <si>
    <t>Ramp-up (%)</t>
  </si>
  <si>
    <t>Marge EBITDA (%)</t>
  </si>
  <si>
    <t>Impact Réalisé 6/12 (MMAD)</t>
  </si>
  <si>
    <t>Ajustement Net (MMAD)</t>
  </si>
  <si>
    <t>Borne Basse</t>
  </si>
  <si>
    <t>Cas Central</t>
  </si>
  <si>
    <t>Borne Haute</t>
  </si>
  <si>
    <t>Marge EBITDA normalisée</t>
  </si>
  <si>
    <t>Potentiel Annuel Brut (MMAD</t>
  </si>
  <si>
    <t>Loyer en année pleine (plancher)</t>
  </si>
  <si>
    <t>Ajustement net(A2)</t>
  </si>
  <si>
    <t>A2</t>
  </si>
  <si>
    <r>
      <t xml:space="preserve">Assiette : prix de cession d'Akdital Immo (385,3 MMAD, tableau de flux). Rendement locatif retenu : 7 %, fourchette de marché 6-8 % pour l'immobilier de santé. Cession au 11/06/2024, soit 6,5 mois de charge en 2024, prorata linéaire. </t>
    </r>
    <r>
      <rPr>
        <b/>
        <sz val="11"/>
        <color theme="1"/>
        <rFont val="Aptos Narrow"/>
        <family val="2"/>
        <scheme val="minor"/>
      </rPr>
      <t>Le contrôle de vraisemblance montre que cette assiette sous-estime le parc concerné : l'ajustement est un plancher.</t>
    </r>
    <r>
      <rPr>
        <sz val="11"/>
        <color theme="1"/>
        <rFont val="Aptos Narrow"/>
        <family val="2"/>
        <scheme val="minor"/>
      </rPr>
      <t xml:space="preserve"> Le montant exact des loyers et le détail des baux sont demandés au vendeur.</t>
    </r>
  </si>
  <si>
    <r>
      <t>Cas Central (60 % / 23 %) :</t>
    </r>
    <r>
      <rPr>
        <sz val="11"/>
        <color theme="1"/>
        <rFont val="Aptos Narrow"/>
        <family val="2"/>
        <scheme val="minor"/>
      </rPr>
      <t xml:space="preserve"> Le taux de montée en charge de 60 % traduit la phase de maturité progressive (18 à 24 mois).En isolant les frais de démarrage en ligne séparée (A3 : -45,8 MMAD), la marge d'A1 ne doit plus subir la dégradation liée à ces coûts initiaux (d'où l'abandon des 18 %). Cependant, nous ne retenons pas non plus la marge de croisière du groupe (28,4 %), car les nouveaux établissements ouverts en 2024 restent en phase de montée en puissance (ramp-up) avec un taux d'occupation progressif. Une marge intermédiaire de 23–24 % reflète fidèlement la rentabilité opérationnelle courante de ces sites.</t>
    </r>
  </si>
  <si>
    <t>Frais de démarrage capitalisés</t>
  </si>
  <si>
    <t>Frais préliminaires</t>
  </si>
  <si>
    <t>Charges à répartir sur plusieurs exercices</t>
  </si>
  <si>
    <t>Ajustement net(A3)</t>
  </si>
  <si>
    <t>Bilan actif consolidé</t>
  </si>
  <si>
    <t>A3</t>
  </si>
  <si>
    <t>Ajustement A3:L'EBITDA étant un agrégat calculé avant dotations aux amortissements, il convient d'isoler l'impact total sur la trésorerie/rentabilité brute de la période. Si ces coûts avaient été passés en charges (selon une norme comptable standard) au lieu d'être capitalisés en non-valeurs, l'EBITDA aurait été directement imputé de 45,8 MMAD. Retraiter le montant net (22,6 MMAD) reviendrait à réintégrer indirectement un impact d'amortissement, ce qui dénature le concept d'EBITDA.</t>
  </si>
  <si>
    <t>CA 2022 (MMADH)</t>
  </si>
  <si>
    <t>Loyer annuel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</si>
</sst>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7" tint="-0.249977111117893"/>
      <name val="Arial"/>
      <family val="2"/>
    </font>
    <font>
      <b/>
      <sz val="11"/>
      <color theme="7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4" fontId="0" fillId="0" borderId="1" xfId="0" applyNumberFormat="1" applyBorder="1"/>
    <xf numFmtId="4" fontId="3" fillId="3" borderId="1" xfId="0" applyNumberFormat="1" applyFont="1" applyFill="1" applyBorder="1"/>
    <xf numFmtId="0" fontId="3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9" fontId="0" fillId="0" borderId="1" xfId="1" applyFont="1" applyBorder="1"/>
    <xf numFmtId="2" fontId="0" fillId="0" borderId="1" xfId="0" applyNumberFormat="1" applyBorder="1"/>
    <xf numFmtId="4" fontId="0" fillId="2" borderId="1" xfId="0" applyNumberFormat="1" applyFill="1" applyBorder="1"/>
    <xf numFmtId="9" fontId="0" fillId="2" borderId="1" xfId="1" applyFont="1" applyFill="1" applyBorder="1"/>
    <xf numFmtId="0" fontId="0" fillId="3" borderId="1" xfId="0" applyFill="1" applyBorder="1"/>
    <xf numFmtId="2" fontId="3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/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6" fillId="0" borderId="1" xfId="0" applyFont="1" applyBorder="1" applyAlignment="1">
      <alignment horizontal="left" vertical="center" wrapText="1" indent="1"/>
    </xf>
    <xf numFmtId="9" fontId="7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left" vertical="center" wrapText="1" indent="1"/>
    </xf>
    <xf numFmtId="164" fontId="6" fillId="0" borderId="1" xfId="0" applyNumberFormat="1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/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185D-B332-422C-A73F-BEE060BC3EDC}">
  <dimension ref="A1:H21"/>
  <sheetViews>
    <sheetView zoomScale="87" workbookViewId="0">
      <selection activeCell="D12" sqref="D12"/>
    </sheetView>
  </sheetViews>
  <sheetFormatPr baseColWidth="10" defaultRowHeight="14.5" x14ac:dyDescent="0.35"/>
  <cols>
    <col min="1" max="1" width="41.1796875" customWidth="1"/>
    <col min="2" max="2" width="11.7265625" customWidth="1"/>
    <col min="5" max="5" width="22.54296875" customWidth="1"/>
  </cols>
  <sheetData>
    <row r="1" spans="1:8" x14ac:dyDescent="0.35">
      <c r="A1" s="38"/>
      <c r="B1" s="37" t="s">
        <v>12</v>
      </c>
      <c r="C1" s="37"/>
      <c r="E1" s="40" t="s">
        <v>13</v>
      </c>
      <c r="F1" s="40"/>
      <c r="G1" s="40"/>
      <c r="H1" s="40"/>
    </row>
    <row r="2" spans="1:8" x14ac:dyDescent="0.35">
      <c r="A2" s="39"/>
      <c r="B2" s="5">
        <v>2024</v>
      </c>
      <c r="C2" s="5">
        <v>2023</v>
      </c>
      <c r="E2" s="1"/>
      <c r="F2" s="7">
        <v>2024</v>
      </c>
      <c r="G2" s="7">
        <v>2023</v>
      </c>
      <c r="H2" s="7" t="s">
        <v>29</v>
      </c>
    </row>
    <row r="3" spans="1:8" x14ac:dyDescent="0.35">
      <c r="A3" s="6" t="s">
        <v>57</v>
      </c>
      <c r="B3" s="3">
        <v>5006.5</v>
      </c>
      <c r="C3" s="3">
        <v>4701.5</v>
      </c>
      <c r="E3" s="8" t="s">
        <v>14</v>
      </c>
      <c r="F3" s="2">
        <f>(B14-B11)-(B15-(B16+B17+B18))</f>
        <v>-222.60000000000014</v>
      </c>
      <c r="G3" s="2">
        <f>(C14-C11)-(C15-(C16+C17+C18))</f>
        <v>-199</v>
      </c>
      <c r="H3" s="11">
        <f>F3-G3</f>
        <v>-23.600000000000136</v>
      </c>
    </row>
    <row r="4" spans="1:8" x14ac:dyDescent="0.35">
      <c r="A4" s="6" t="s">
        <v>0</v>
      </c>
      <c r="B4" s="3">
        <v>1063.9000000000001</v>
      </c>
      <c r="C4" s="4">
        <v>978.8</v>
      </c>
      <c r="E4" s="8" t="s">
        <v>15</v>
      </c>
      <c r="F4" s="2">
        <f>(B12+B13)-B8</f>
        <v>-219.40000000000055</v>
      </c>
      <c r="G4" s="2">
        <f>(C12+C13)-C8</f>
        <v>-126.39999999999964</v>
      </c>
      <c r="H4" s="11">
        <f>F4-G4</f>
        <v>-93.000000000000909</v>
      </c>
    </row>
    <row r="5" spans="1:8" x14ac:dyDescent="0.35">
      <c r="A5" s="6" t="s">
        <v>1</v>
      </c>
      <c r="B5" s="4">
        <v>610.9</v>
      </c>
      <c r="C5" s="4">
        <v>621.4</v>
      </c>
      <c r="E5" s="8" t="s">
        <v>16</v>
      </c>
      <c r="F5" s="2">
        <f>F4-F3</f>
        <v>3.1999999999995907</v>
      </c>
      <c r="G5" s="2">
        <f>G4-G3</f>
        <v>72.600000000000364</v>
      </c>
      <c r="H5" s="11">
        <f t="shared" ref="H5:H12" si="0">F5-G5</f>
        <v>-69.400000000000773</v>
      </c>
    </row>
    <row r="6" spans="1:8" x14ac:dyDescent="0.35">
      <c r="A6" s="6" t="s">
        <v>2</v>
      </c>
      <c r="B6" s="4">
        <v>426.7</v>
      </c>
      <c r="C6" s="4">
        <v>403.2</v>
      </c>
      <c r="E6" s="8" t="s">
        <v>17</v>
      </c>
      <c r="F6" s="10">
        <f>B10/B3*365</f>
        <v>50.100469389793275</v>
      </c>
      <c r="G6" s="10">
        <f>C10/C3*365</f>
        <v>41.814101882377962</v>
      </c>
      <c r="H6" s="11">
        <f t="shared" si="0"/>
        <v>8.2863675074153136</v>
      </c>
    </row>
    <row r="7" spans="1:8" x14ac:dyDescent="0.35">
      <c r="A7" s="6" t="s">
        <v>3</v>
      </c>
      <c r="B7" s="4">
        <v>-53.9</v>
      </c>
      <c r="C7" s="4">
        <v>49.4</v>
      </c>
      <c r="E7" s="8" t="s">
        <v>18</v>
      </c>
      <c r="F7" s="10">
        <f>B9/B4*365</f>
        <v>42.88466961180562</v>
      </c>
      <c r="G7" s="10">
        <f>C9/C4*365</f>
        <v>44.077441765427061</v>
      </c>
      <c r="H7" s="11">
        <f t="shared" si="0"/>
        <v>-1.1927721536214406</v>
      </c>
    </row>
    <row r="8" spans="1:8" x14ac:dyDescent="0.35">
      <c r="A8" s="6" t="s">
        <v>4</v>
      </c>
      <c r="B8" s="3">
        <v>5428.6</v>
      </c>
      <c r="C8" s="3">
        <v>5591.6</v>
      </c>
      <c r="E8" s="8" t="s">
        <v>19</v>
      </c>
      <c r="F8" s="10">
        <f>B19/B4*365</f>
        <v>157.06081398627691</v>
      </c>
      <c r="G8" s="10">
        <f>C19/C4*365</f>
        <v>175.97415202288516</v>
      </c>
      <c r="H8" s="11">
        <f t="shared" si="0"/>
        <v>-18.913338036608252</v>
      </c>
    </row>
    <row r="9" spans="1:8" x14ac:dyDescent="0.35">
      <c r="A9" s="6" t="s">
        <v>5</v>
      </c>
      <c r="B9" s="4">
        <v>125</v>
      </c>
      <c r="C9" s="4">
        <v>118.2</v>
      </c>
      <c r="E9" s="8" t="s">
        <v>22</v>
      </c>
      <c r="F9" s="9">
        <f>B5/B3</f>
        <v>0.12202137221611904</v>
      </c>
      <c r="G9" s="9">
        <f>C5/C3</f>
        <v>0.13217058385621611</v>
      </c>
      <c r="H9" s="12">
        <f t="shared" si="0"/>
        <v>-1.0149211640097064E-2</v>
      </c>
    </row>
    <row r="10" spans="1:8" x14ac:dyDescent="0.35">
      <c r="A10" s="6" t="s">
        <v>6</v>
      </c>
      <c r="B10" s="4">
        <v>687.2</v>
      </c>
      <c r="C10" s="4">
        <v>538.6</v>
      </c>
      <c r="E10" s="8" t="s">
        <v>20</v>
      </c>
      <c r="F10" s="9">
        <f>B20/B5</f>
        <v>0.96055000818464553</v>
      </c>
      <c r="G10" s="9">
        <f>C20/C5</f>
        <v>0.96379143868683614</v>
      </c>
      <c r="H10" s="12">
        <f t="shared" si="0"/>
        <v>-3.241430502190612E-3</v>
      </c>
    </row>
    <row r="11" spans="1:8" x14ac:dyDescent="0.35">
      <c r="A11" s="6" t="s">
        <v>7</v>
      </c>
      <c r="B11" s="4">
        <v>359</v>
      </c>
      <c r="C11" s="4">
        <v>352.2</v>
      </c>
      <c r="E11" s="8" t="s">
        <v>21</v>
      </c>
      <c r="F11" s="10">
        <f>ABS(B21/B6)</f>
        <v>0.39489102413873917</v>
      </c>
      <c r="G11" s="10">
        <f>ABS(C21/C6)</f>
        <v>0.42708333333333331</v>
      </c>
      <c r="H11" s="11">
        <f t="shared" si="0"/>
        <v>-3.2192309194594149E-2</v>
      </c>
    </row>
    <row r="12" spans="1:8" x14ac:dyDescent="0.35">
      <c r="A12" s="6" t="s">
        <v>8</v>
      </c>
      <c r="B12" s="3">
        <v>1229.7</v>
      </c>
      <c r="C12" s="3">
        <v>1276.9000000000001</v>
      </c>
      <c r="E12" s="6" t="s">
        <v>3</v>
      </c>
      <c r="F12" s="13">
        <v>-53.9</v>
      </c>
      <c r="G12" s="13">
        <v>49.4</v>
      </c>
      <c r="H12" s="11">
        <f t="shared" si="0"/>
        <v>-103.3</v>
      </c>
    </row>
    <row r="13" spans="1:8" x14ac:dyDescent="0.35">
      <c r="A13" s="6" t="s">
        <v>9</v>
      </c>
      <c r="B13" s="3">
        <v>3979.5</v>
      </c>
      <c r="C13" s="3">
        <v>4188.3</v>
      </c>
    </row>
    <row r="14" spans="1:8" x14ac:dyDescent="0.35">
      <c r="A14" s="6" t="s">
        <v>24</v>
      </c>
      <c r="B14" s="3">
        <v>1466.6</v>
      </c>
      <c r="C14" s="3">
        <v>1366.2</v>
      </c>
    </row>
    <row r="15" spans="1:8" x14ac:dyDescent="0.35">
      <c r="A15" s="6" t="s">
        <v>25</v>
      </c>
      <c r="B15" s="3">
        <v>1686</v>
      </c>
      <c r="C15" s="3">
        <v>1492.6</v>
      </c>
    </row>
    <row r="16" spans="1:8" x14ac:dyDescent="0.35">
      <c r="A16" s="6" t="s">
        <v>26</v>
      </c>
      <c r="B16" s="3">
        <v>104.3</v>
      </c>
      <c r="C16" s="3">
        <v>58.8</v>
      </c>
    </row>
    <row r="17" spans="1:3" x14ac:dyDescent="0.35">
      <c r="A17" s="6" t="s">
        <v>27</v>
      </c>
      <c r="B17" s="3">
        <v>6.4</v>
      </c>
      <c r="C17" s="3">
        <v>7.3</v>
      </c>
    </row>
    <row r="18" spans="1:3" x14ac:dyDescent="0.35">
      <c r="A18" s="6" t="s">
        <v>28</v>
      </c>
      <c r="B18" s="3">
        <v>245.1</v>
      </c>
      <c r="C18" s="3">
        <v>213.5</v>
      </c>
    </row>
    <row r="19" spans="1:3" x14ac:dyDescent="0.35">
      <c r="A19" s="6" t="s">
        <v>10</v>
      </c>
      <c r="B19" s="4">
        <v>457.8</v>
      </c>
      <c r="C19" s="4">
        <v>471.9</v>
      </c>
    </row>
    <row r="20" spans="1:3" x14ac:dyDescent="0.35">
      <c r="A20" s="6" t="s">
        <v>11</v>
      </c>
      <c r="B20" s="4">
        <v>586.79999999999995</v>
      </c>
      <c r="C20" s="4">
        <v>598.9</v>
      </c>
    </row>
    <row r="21" spans="1:3" x14ac:dyDescent="0.35">
      <c r="A21" s="6" t="s">
        <v>23</v>
      </c>
      <c r="B21" s="4">
        <v>-168.5</v>
      </c>
      <c r="C21" s="4">
        <v>-172.2</v>
      </c>
    </row>
  </sheetData>
  <mergeCells count="3">
    <mergeCell ref="B1:C1"/>
    <mergeCell ref="A1:A2"/>
    <mergeCell ref="E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7ADB-72F0-41FC-B228-7F72C5290FBE}">
  <dimension ref="A1:K24"/>
  <sheetViews>
    <sheetView zoomScale="80" workbookViewId="0">
      <selection activeCell="A19" sqref="A19:D19"/>
    </sheetView>
  </sheetViews>
  <sheetFormatPr baseColWidth="10" defaultRowHeight="14.5" x14ac:dyDescent="0.35"/>
  <cols>
    <col min="1" max="1" width="43.453125" customWidth="1"/>
    <col min="2" max="2" width="17.08984375" customWidth="1"/>
    <col min="3" max="3" width="17.54296875" customWidth="1"/>
    <col min="4" max="4" width="14.453125" customWidth="1"/>
    <col min="6" max="6" width="23.1796875" customWidth="1"/>
    <col min="7" max="7" width="13.08984375" customWidth="1"/>
    <col min="8" max="8" width="14.6328125" customWidth="1"/>
    <col min="9" max="9" width="13.36328125" bestFit="1" customWidth="1"/>
  </cols>
  <sheetData>
    <row r="1" spans="1:11" x14ac:dyDescent="0.35">
      <c r="A1" s="1"/>
      <c r="B1" s="40" t="s">
        <v>47</v>
      </c>
      <c r="C1" s="40"/>
      <c r="D1" s="40"/>
    </row>
    <row r="2" spans="1:11" x14ac:dyDescent="0.35">
      <c r="A2" s="1"/>
      <c r="B2" s="7">
        <v>2022</v>
      </c>
      <c r="C2" s="7">
        <v>2023</v>
      </c>
      <c r="D2" s="7">
        <v>2024</v>
      </c>
      <c r="F2" s="41" t="s">
        <v>48</v>
      </c>
      <c r="G2" s="41"/>
      <c r="H2" s="41"/>
      <c r="I2" s="41"/>
      <c r="J2" s="16"/>
      <c r="K2" s="16"/>
    </row>
    <row r="3" spans="1:11" x14ac:dyDescent="0.35">
      <c r="A3" s="8" t="s">
        <v>57</v>
      </c>
      <c r="B3" s="14">
        <f>1034777927/10^6</f>
        <v>1034.7779270000001</v>
      </c>
      <c r="C3" s="14">
        <f>1907329124/10^6</f>
        <v>1907.3291240000001</v>
      </c>
      <c r="D3" s="14">
        <f>2954038793/10^6</f>
        <v>2954.0387930000002</v>
      </c>
      <c r="F3" s="1"/>
      <c r="G3" s="7">
        <v>2022</v>
      </c>
      <c r="H3" s="7">
        <v>2023</v>
      </c>
      <c r="I3" s="7">
        <v>2024</v>
      </c>
    </row>
    <row r="4" spans="1:11" x14ac:dyDescent="0.35">
      <c r="A4" s="8" t="s">
        <v>30</v>
      </c>
      <c r="B4" s="14">
        <f>57093526/10^6</f>
        <v>57.093525999999997</v>
      </c>
      <c r="C4" s="14">
        <f>98819040/10^6</f>
        <v>98.819040000000001</v>
      </c>
      <c r="D4" s="14">
        <f>176555475/10^6</f>
        <v>176.555475</v>
      </c>
      <c r="F4" s="8" t="s">
        <v>14</v>
      </c>
      <c r="G4" s="10">
        <f>B9-B10</f>
        <v>-343.33500800000002</v>
      </c>
      <c r="H4" s="10">
        <f>C9-C10</f>
        <v>-318.62809700000003</v>
      </c>
      <c r="I4" s="10">
        <f>D9-D10</f>
        <v>-388.47570899999982</v>
      </c>
    </row>
    <row r="5" spans="1:11" x14ac:dyDescent="0.35">
      <c r="A5" s="8" t="s">
        <v>31</v>
      </c>
      <c r="B5" s="14">
        <f>384593504/10^6</f>
        <v>384.593504</v>
      </c>
      <c r="C5" s="14">
        <f>699135133/10^6</f>
        <v>699.135133</v>
      </c>
      <c r="D5" s="14">
        <f>975688986/10^6</f>
        <v>975.688986</v>
      </c>
      <c r="F5" s="8" t="s">
        <v>15</v>
      </c>
      <c r="G5" s="10">
        <f>(B12+B13+B14+B15)-B16</f>
        <v>-94.55541200000016</v>
      </c>
      <c r="H5" s="10">
        <f>(C12+C13+C14+C15)-C16</f>
        <v>-230.72524100000055</v>
      </c>
      <c r="I5" s="10">
        <f>(D12+D13+D14+D15)-D16</f>
        <v>1373.9249519999994</v>
      </c>
    </row>
    <row r="6" spans="1:11" x14ac:dyDescent="0.35">
      <c r="A6" s="8" t="s">
        <v>32</v>
      </c>
      <c r="B6" s="14">
        <f>244704415/10^6</f>
        <v>244.70441500000001</v>
      </c>
      <c r="C6" s="14">
        <f>160233517/10^6</f>
        <v>160.23351700000001</v>
      </c>
      <c r="D6" s="14">
        <f>189173473/10^6</f>
        <v>189.173473</v>
      </c>
      <c r="F6" s="8" t="s">
        <v>16</v>
      </c>
      <c r="G6" s="10">
        <f>G5-G4</f>
        <v>248.77959599999986</v>
      </c>
      <c r="H6" s="10">
        <f>H5-H4</f>
        <v>87.902855999999474</v>
      </c>
      <c r="I6" s="10">
        <f>I5-I4</f>
        <v>1762.4006609999992</v>
      </c>
    </row>
    <row r="7" spans="1:11" x14ac:dyDescent="0.35">
      <c r="A7" s="8" t="s">
        <v>33</v>
      </c>
      <c r="B7" s="14">
        <f>446879118/10^6</f>
        <v>446.87911800000001</v>
      </c>
      <c r="C7" s="14">
        <f>525347738/10^6</f>
        <v>525.34773800000005</v>
      </c>
      <c r="D7" s="14">
        <f>527510803/10^6</f>
        <v>527.51080300000001</v>
      </c>
      <c r="F7" s="8" t="s">
        <v>49</v>
      </c>
      <c r="G7" s="10">
        <f>B17-B18</f>
        <v>248.77959600000008</v>
      </c>
      <c r="H7" s="10">
        <f>C17-C18</f>
        <v>87.902855999999986</v>
      </c>
      <c r="I7" s="10">
        <f>D17-D18</f>
        <v>333.14835599999998</v>
      </c>
    </row>
    <row r="8" spans="1:11" x14ac:dyDescent="0.35">
      <c r="A8" s="8" t="s">
        <v>34</v>
      </c>
      <c r="B8" s="14">
        <f>582847335/10^6</f>
        <v>582.84733500000004</v>
      </c>
      <c r="C8" s="14">
        <f>751468049/10^6</f>
        <v>751.46804899999995</v>
      </c>
      <c r="D8" s="14">
        <f>1524912274/10^6</f>
        <v>1524.912274</v>
      </c>
      <c r="F8" s="8" t="s">
        <v>17</v>
      </c>
      <c r="G8" s="1">
        <f>ROUNDUP(B5/B3*365, 0)</f>
        <v>136</v>
      </c>
      <c r="H8" s="1">
        <f>ROUNDUP(C5/C3*365, 0)</f>
        <v>134</v>
      </c>
      <c r="I8" s="1">
        <f>ROUNDUP(D5/D3*365, 0)</f>
        <v>121</v>
      </c>
    </row>
    <row r="9" spans="1:11" x14ac:dyDescent="0.35">
      <c r="A9" s="8" t="s">
        <v>35</v>
      </c>
      <c r="B9" s="14">
        <f>686391445/10^6</f>
        <v>686.39144499999998</v>
      </c>
      <c r="C9" s="14">
        <f>958187690/10^6</f>
        <v>958.18768999999998</v>
      </c>
      <c r="D9" s="14">
        <f>1663947368/10^6</f>
        <v>1663.9473680000001</v>
      </c>
      <c r="F9" s="8" t="s">
        <v>18</v>
      </c>
      <c r="G9" s="1">
        <f>ROUNDUP(B4/B11*365, 0)</f>
        <v>43</v>
      </c>
      <c r="H9" s="1">
        <f>ROUNDUP(C4/C11*365, 0)</f>
        <v>39</v>
      </c>
      <c r="I9" s="1">
        <f>ROUNDUP(D4/D11*365, 0)</f>
        <v>45</v>
      </c>
    </row>
    <row r="10" spans="1:11" x14ac:dyDescent="0.35">
      <c r="A10" s="8" t="s">
        <v>36</v>
      </c>
      <c r="B10" s="14">
        <f>1029726453/10^6</f>
        <v>1029.726453</v>
      </c>
      <c r="C10" s="14">
        <f>1276815787/10^6</f>
        <v>1276.815787</v>
      </c>
      <c r="D10" s="14">
        <f>2052423077/10^6</f>
        <v>2052.4230769999999</v>
      </c>
      <c r="F10" s="8" t="s">
        <v>50</v>
      </c>
      <c r="G10" s="10">
        <f>B21+B22</f>
        <v>282.87608399999999</v>
      </c>
      <c r="H10" s="10">
        <f>C21+C22</f>
        <v>510.81766900000002</v>
      </c>
      <c r="I10" s="10">
        <f>D21+D22</f>
        <v>838.82059400000003</v>
      </c>
    </row>
    <row r="11" spans="1:11" x14ac:dyDescent="0.35">
      <c r="A11" s="8" t="s">
        <v>37</v>
      </c>
      <c r="B11" s="14">
        <f>490446675/10^6</f>
        <v>490.44667500000003</v>
      </c>
      <c r="C11" s="14">
        <f>944664048/10^6</f>
        <v>944.66404799999998</v>
      </c>
      <c r="D11" s="14">
        <f>1454241960/10^6</f>
        <v>1454.2419600000001</v>
      </c>
      <c r="F11" s="8" t="s">
        <v>22</v>
      </c>
      <c r="G11" s="9">
        <f>G10/B3</f>
        <v>0.27336888101208984</v>
      </c>
      <c r="H11" s="9">
        <f>H10/C3</f>
        <v>0.26781831335366324</v>
      </c>
      <c r="I11" s="9">
        <f>I10/D3</f>
        <v>0.2839572032661522</v>
      </c>
    </row>
    <row r="12" spans="1:11" x14ac:dyDescent="0.35">
      <c r="A12" s="8" t="s">
        <v>38</v>
      </c>
      <c r="B12" s="14">
        <f>1277964945/10^6</f>
        <v>1277.9649449999999</v>
      </c>
      <c r="C12" s="14">
        <f>1425567536/10^6</f>
        <v>1425.567536</v>
      </c>
      <c r="D12" s="14">
        <f>2638508203/10^6</f>
        <v>2638.5082029999999</v>
      </c>
      <c r="F12" s="8" t="s">
        <v>20</v>
      </c>
      <c r="G12" s="9">
        <f>B19/G10</f>
        <v>1.6413714317397015</v>
      </c>
      <c r="H12" s="9">
        <f>C19/H10</f>
        <v>0.46861320883557767</v>
      </c>
      <c r="I12" s="9">
        <f>D19/I10</f>
        <v>0.20189412278544988</v>
      </c>
    </row>
    <row r="13" spans="1:11" x14ac:dyDescent="0.35">
      <c r="A13" s="6" t="s">
        <v>39</v>
      </c>
      <c r="B13" s="45">
        <f>433581211/10^6</f>
        <v>433.581211</v>
      </c>
      <c r="C13" s="45">
        <f>1067190582/10^6</f>
        <v>1067.1905819999999</v>
      </c>
      <c r="D13" s="45">
        <f>1434195198/10^6</f>
        <v>1434.1951979999999</v>
      </c>
      <c r="F13" s="8" t="s">
        <v>53</v>
      </c>
      <c r="G13" s="10">
        <f>B23+B24</f>
        <v>836.95352000000003</v>
      </c>
      <c r="H13" s="10">
        <f>C23+C24</f>
        <v>1018.8839059999999</v>
      </c>
      <c r="I13" s="10">
        <f>D23</f>
        <v>2604.8103000000001</v>
      </c>
    </row>
    <row r="14" spans="1:11" x14ac:dyDescent="0.35">
      <c r="A14" s="8" t="s">
        <v>40</v>
      </c>
      <c r="B14" s="14">
        <f>708367/10^6</f>
        <v>0.70836699999999997</v>
      </c>
      <c r="C14" s="14">
        <f>669012/10^6</f>
        <v>0.66901200000000005</v>
      </c>
      <c r="D14" s="14">
        <f>1428622648/10^6</f>
        <v>1428.622648</v>
      </c>
      <c r="F14" s="8" t="s">
        <v>21</v>
      </c>
      <c r="G14" s="10">
        <f>G13/B22</f>
        <v>7.8973334177775314</v>
      </c>
      <c r="H14" s="10">
        <f>H13/C22</f>
        <v>5.5763639194875259</v>
      </c>
      <c r="I14" s="10">
        <f>I13/D22</f>
        <v>8.1511754556860812</v>
      </c>
    </row>
    <row r="15" spans="1:11" x14ac:dyDescent="0.35">
      <c r="A15" s="8" t="s">
        <v>41</v>
      </c>
      <c r="B15" s="14">
        <f>10545193/10^6</f>
        <v>10.545192999999999</v>
      </c>
      <c r="C15" s="14">
        <f>10853448/10^6</f>
        <v>10.853448</v>
      </c>
      <c r="D15" s="14">
        <f>629658/10^6</f>
        <v>0.62965800000000005</v>
      </c>
      <c r="F15" s="6" t="s">
        <v>56</v>
      </c>
      <c r="G15" s="10">
        <f>87651981/10^6</f>
        <v>87.651981000000006</v>
      </c>
      <c r="H15" s="10">
        <f>174686517/10^6</f>
        <v>174.68651700000001</v>
      </c>
      <c r="I15" s="10">
        <f>314609432 /10^6</f>
        <v>314.60943200000003</v>
      </c>
    </row>
    <row r="16" spans="1:11" x14ac:dyDescent="0.35">
      <c r="A16" s="15" t="s">
        <v>42</v>
      </c>
      <c r="B16" s="14">
        <f>1817355128/10^6</f>
        <v>1817.3551279999999</v>
      </c>
      <c r="C16" s="14">
        <f>2735005819/10^6</f>
        <v>2735.005819</v>
      </c>
      <c r="D16" s="14">
        <f>4128030755/10^6</f>
        <v>4128.0307549999998</v>
      </c>
    </row>
    <row r="17" spans="1:4" x14ac:dyDescent="0.35">
      <c r="A17" s="8" t="s">
        <v>43</v>
      </c>
      <c r="B17" s="14">
        <f>530260154/10^6</f>
        <v>530.26015400000006</v>
      </c>
      <c r="C17" s="14">
        <f>206449652/10^6</f>
        <v>206.44965199999999</v>
      </c>
      <c r="D17" s="14">
        <f>575808633/10^6</f>
        <v>575.80863299999999</v>
      </c>
    </row>
    <row r="18" spans="1:4" x14ac:dyDescent="0.35">
      <c r="A18" s="8" t="s">
        <v>44</v>
      </c>
      <c r="B18" s="14">
        <f>281480558/10^6</f>
        <v>281.48055799999997</v>
      </c>
      <c r="C18" s="14">
        <f>118546796/10^6</f>
        <v>118.546796</v>
      </c>
      <c r="D18" s="14">
        <f>242660277/10^6</f>
        <v>242.66027700000001</v>
      </c>
    </row>
    <row r="19" spans="1:4" x14ac:dyDescent="0.35">
      <c r="A19" s="6" t="s">
        <v>45</v>
      </c>
      <c r="B19" s="45">
        <f>464304723/10^6</f>
        <v>464.30472300000002</v>
      </c>
      <c r="C19" s="45">
        <f>239375907/10^6</f>
        <v>239.37590700000001</v>
      </c>
      <c r="D19" s="45">
        <f>169352948/10^6</f>
        <v>169.352948</v>
      </c>
    </row>
    <row r="20" spans="1:4" x14ac:dyDescent="0.35">
      <c r="A20" s="8" t="s">
        <v>46</v>
      </c>
      <c r="B20" s="14">
        <f>-243905906/10^6</f>
        <v>-243.90590599999999</v>
      </c>
      <c r="C20" s="14">
        <f>-423789808/10^6</f>
        <v>-423.78980799999999</v>
      </c>
      <c r="D20" s="14">
        <f>-611133188/10^6</f>
        <v>-611.13318800000002</v>
      </c>
    </row>
    <row r="21" spans="1:4" x14ac:dyDescent="0.35">
      <c r="A21" s="8" t="s">
        <v>51</v>
      </c>
      <c r="B21" s="14">
        <f>176896828/10^6</f>
        <v>176.896828</v>
      </c>
      <c r="C21" s="14">
        <f>328102925/10^6</f>
        <v>328.10292500000003</v>
      </c>
      <c r="D21" s="14">
        <f>519258058/10^6</f>
        <v>519.25805800000001</v>
      </c>
    </row>
    <row r="22" spans="1:4" x14ac:dyDescent="0.35">
      <c r="A22" s="8" t="s">
        <v>52</v>
      </c>
      <c r="B22" s="14">
        <f>105979256/10^6</f>
        <v>105.97925600000001</v>
      </c>
      <c r="C22" s="14">
        <f>182714744/10^6</f>
        <v>182.714744</v>
      </c>
      <c r="D22" s="14">
        <f>319562536/10^6</f>
        <v>319.56253600000002</v>
      </c>
    </row>
    <row r="23" spans="1:4" x14ac:dyDescent="0.35">
      <c r="A23" s="8" t="s">
        <v>54</v>
      </c>
      <c r="B23" s="14">
        <f>30846362/10^6</f>
        <v>30.846361999999999</v>
      </c>
      <c r="C23" s="14">
        <f>130259157/10^6</f>
        <v>130.25915699999999</v>
      </c>
      <c r="D23" s="42">
        <f>2604810300/10^6</f>
        <v>2604.8103000000001</v>
      </c>
    </row>
    <row r="24" spans="1:4" x14ac:dyDescent="0.35">
      <c r="A24" s="8" t="s">
        <v>55</v>
      </c>
      <c r="B24" s="14">
        <f>806107158/10^6</f>
        <v>806.10715800000003</v>
      </c>
      <c r="C24" s="14">
        <f>888624749/10^6</f>
        <v>888.62474899999995</v>
      </c>
      <c r="D24" s="43"/>
    </row>
  </sheetData>
  <mergeCells count="3">
    <mergeCell ref="B1:D1"/>
    <mergeCell ref="F2:I2"/>
    <mergeCell ref="D23:D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BA31-71FE-4125-8D41-152946409D57}">
  <dimension ref="A1:J28"/>
  <sheetViews>
    <sheetView tabSelected="1" zoomScale="67" workbookViewId="0">
      <selection activeCell="G8" sqref="G8"/>
    </sheetView>
  </sheetViews>
  <sheetFormatPr baseColWidth="10" defaultRowHeight="14.5" x14ac:dyDescent="0.35"/>
  <cols>
    <col min="1" max="1" width="38.08984375" customWidth="1"/>
    <col min="2" max="2" width="13.81640625" customWidth="1"/>
    <col min="3" max="3" width="27.90625" customWidth="1"/>
    <col min="4" max="4" width="13.36328125" bestFit="1" customWidth="1"/>
    <col min="5" max="5" width="28" customWidth="1"/>
    <col min="6" max="6" width="17.453125" customWidth="1"/>
    <col min="7" max="7" width="16.81640625" customWidth="1"/>
    <col min="8" max="8" width="17.453125" customWidth="1"/>
    <col min="9" max="9" width="20.6328125" customWidth="1"/>
    <col min="10" max="10" width="17.08984375" bestFit="1" customWidth="1"/>
  </cols>
  <sheetData>
    <row r="1" spans="1:10" x14ac:dyDescent="0.35">
      <c r="A1" s="1"/>
      <c r="B1" s="8" t="s">
        <v>58</v>
      </c>
      <c r="C1" s="8" t="s">
        <v>59</v>
      </c>
    </row>
    <row r="2" spans="1:10" x14ac:dyDescent="0.35">
      <c r="A2" s="8" t="s">
        <v>60</v>
      </c>
      <c r="B2" s="18">
        <v>3706</v>
      </c>
      <c r="C2" s="1" t="s">
        <v>63</v>
      </c>
      <c r="E2" s="1"/>
      <c r="F2" s="8">
        <v>2022</v>
      </c>
      <c r="G2" s="8">
        <v>2023</v>
      </c>
      <c r="H2" s="8">
        <v>2024</v>
      </c>
      <c r="I2" s="8" t="s">
        <v>78</v>
      </c>
      <c r="J2" s="8" t="s">
        <v>79</v>
      </c>
    </row>
    <row r="3" spans="1:10" x14ac:dyDescent="0.35">
      <c r="A3" s="8" t="s">
        <v>61</v>
      </c>
      <c r="B3" s="18">
        <v>1402</v>
      </c>
      <c r="C3" s="1" t="s">
        <v>64</v>
      </c>
      <c r="E3" s="8" t="s">
        <v>75</v>
      </c>
      <c r="F3" s="20">
        <f>AKDITAL!G10</f>
        <v>282.87608399999999</v>
      </c>
      <c r="G3" s="20">
        <f>AKDITAL!H10</f>
        <v>510.81766900000002</v>
      </c>
      <c r="H3" s="20">
        <f>AKDITAL!I10</f>
        <v>838.82059400000003</v>
      </c>
      <c r="I3" s="1"/>
      <c r="J3" s="1" t="s">
        <v>80</v>
      </c>
    </row>
    <row r="4" spans="1:10" x14ac:dyDescent="0.35">
      <c r="A4" s="8" t="s">
        <v>62</v>
      </c>
      <c r="B4" s="19">
        <f>B2-B3</f>
        <v>2304</v>
      </c>
      <c r="C4" s="1"/>
      <c r="E4" s="8" t="s">
        <v>76</v>
      </c>
      <c r="F4" s="17"/>
      <c r="G4" s="17"/>
      <c r="H4" s="23">
        <f>B16</f>
        <v>80.082988193364585</v>
      </c>
      <c r="I4" s="17" t="s">
        <v>83</v>
      </c>
      <c r="J4" s="1" t="s">
        <v>81</v>
      </c>
    </row>
    <row r="5" spans="1:10" x14ac:dyDescent="0.35">
      <c r="A5" s="8" t="s">
        <v>66</v>
      </c>
      <c r="B5" s="18">
        <f>AKDITAL!D3</f>
        <v>2954.0387930000002</v>
      </c>
      <c r="C5" s="1" t="s">
        <v>65</v>
      </c>
      <c r="E5" s="8" t="s">
        <v>98</v>
      </c>
      <c r="F5" s="1"/>
      <c r="G5" s="1"/>
      <c r="H5" s="23">
        <f>B17</f>
        <v>-12.361708333333334</v>
      </c>
      <c r="I5" s="17" t="s">
        <v>83</v>
      </c>
      <c r="J5" s="1" t="s">
        <v>100</v>
      </c>
    </row>
    <row r="6" spans="1:10" x14ac:dyDescent="0.35">
      <c r="A6" s="8" t="s">
        <v>67</v>
      </c>
      <c r="B6" s="20">
        <f>AKDITAL!C3</f>
        <v>1907.3291240000001</v>
      </c>
      <c r="C6" s="1" t="s">
        <v>65</v>
      </c>
      <c r="E6" s="8" t="s">
        <v>103</v>
      </c>
      <c r="F6" s="1"/>
      <c r="G6" s="1"/>
      <c r="H6" s="17">
        <f>-B18</f>
        <v>-45.8</v>
      </c>
      <c r="I6" s="17" t="s">
        <v>83</v>
      </c>
      <c r="J6" s="1" t="s">
        <v>108</v>
      </c>
    </row>
    <row r="7" spans="1:10" x14ac:dyDescent="0.35">
      <c r="A7" s="35" t="s">
        <v>110</v>
      </c>
      <c r="B7" s="20">
        <f>AKDITAL!B3</f>
        <v>1034.7779270000001</v>
      </c>
      <c r="C7" s="1" t="s">
        <v>65</v>
      </c>
      <c r="E7" s="8" t="s">
        <v>77</v>
      </c>
      <c r="F7" s="44">
        <f>F3</f>
        <v>282.87608399999999</v>
      </c>
      <c r="G7" s="23">
        <f>G3</f>
        <v>510.81766900000002</v>
      </c>
      <c r="H7" s="23">
        <f>H3+H4+H5+H6</f>
        <v>860.74187386003132</v>
      </c>
      <c r="I7" s="1"/>
      <c r="J7" s="1"/>
    </row>
    <row r="8" spans="1:10" x14ac:dyDescent="0.35">
      <c r="A8" s="8" t="s">
        <v>68</v>
      </c>
      <c r="B8" s="21">
        <f>B6/B4</f>
        <v>0.8278338211805556</v>
      </c>
      <c r="C8" s="1"/>
      <c r="E8" s="8" t="s">
        <v>96</v>
      </c>
      <c r="F8" s="22">
        <f>F3/B7</f>
        <v>0.27336888101208984</v>
      </c>
      <c r="G8" s="22">
        <f>G3/B6</f>
        <v>0.26781831335366324</v>
      </c>
      <c r="H8" s="22">
        <f>H7/B5</f>
        <v>0.29137798592885006</v>
      </c>
      <c r="I8" s="1"/>
      <c r="J8" s="1"/>
    </row>
    <row r="9" spans="1:10" ht="14.5" customHeight="1" x14ac:dyDescent="0.35">
      <c r="A9" s="34" t="s">
        <v>69</v>
      </c>
      <c r="B9" s="24">
        <v>0.6</v>
      </c>
      <c r="C9" s="36" t="s">
        <v>73</v>
      </c>
    </row>
    <row r="10" spans="1:10" x14ac:dyDescent="0.35">
      <c r="A10" s="8" t="s">
        <v>70</v>
      </c>
      <c r="B10" s="25">
        <v>0.23</v>
      </c>
      <c r="C10" s="1" t="s">
        <v>73</v>
      </c>
    </row>
    <row r="11" spans="1:10" x14ac:dyDescent="0.35">
      <c r="A11" s="8" t="s">
        <v>71</v>
      </c>
      <c r="B11" s="21">
        <f>B3*B8*B9*B10</f>
        <v>160.16597638672917</v>
      </c>
      <c r="C11" s="1"/>
    </row>
    <row r="12" spans="1:10" ht="28" x14ac:dyDescent="0.35">
      <c r="A12" s="34" t="s">
        <v>72</v>
      </c>
      <c r="B12" s="21">
        <f>B11*6/12</f>
        <v>80.082988193364585</v>
      </c>
      <c r="C12" s="33" t="s">
        <v>74</v>
      </c>
      <c r="E12" s="27" t="s">
        <v>88</v>
      </c>
      <c r="F12" s="27" t="s">
        <v>89</v>
      </c>
      <c r="G12" s="32" t="s">
        <v>90</v>
      </c>
      <c r="H12" s="32" t="s">
        <v>97</v>
      </c>
      <c r="I12" s="27" t="s">
        <v>91</v>
      </c>
      <c r="J12" s="27" t="s">
        <v>92</v>
      </c>
    </row>
    <row r="13" spans="1:10" x14ac:dyDescent="0.35">
      <c r="A13" s="8" t="s">
        <v>104</v>
      </c>
      <c r="B13" s="17">
        <v>26.1</v>
      </c>
      <c r="C13" s="1" t="s">
        <v>107</v>
      </c>
      <c r="E13" s="27" t="s">
        <v>93</v>
      </c>
      <c r="F13" s="28">
        <v>0.5</v>
      </c>
      <c r="G13" s="28">
        <v>0.15</v>
      </c>
      <c r="H13" s="30">
        <f>B3*B8*F13*G13</f>
        <v>87.046726297135407</v>
      </c>
      <c r="I13" s="30">
        <f>H13*6/12</f>
        <v>43.523363148567704</v>
      </c>
      <c r="J13" s="31">
        <f>H13-I13</f>
        <v>43.523363148567704</v>
      </c>
    </row>
    <row r="14" spans="1:10" x14ac:dyDescent="0.35">
      <c r="A14" s="8" t="s">
        <v>105</v>
      </c>
      <c r="B14" s="17">
        <v>19.7</v>
      </c>
      <c r="C14" s="1" t="s">
        <v>107</v>
      </c>
      <c r="E14" s="27" t="s">
        <v>94</v>
      </c>
      <c r="F14" s="29">
        <v>0.6</v>
      </c>
      <c r="G14" s="29">
        <v>0.18</v>
      </c>
      <c r="H14" s="30">
        <f>B3*B8*F14*G14</f>
        <v>125.34728586787499</v>
      </c>
      <c r="I14" s="31">
        <f>H14*6/12</f>
        <v>62.673642933937494</v>
      </c>
      <c r="J14" s="31">
        <f>H14-I14</f>
        <v>62.673642933937494</v>
      </c>
    </row>
    <row r="15" spans="1:10" ht="17" customHeight="1" x14ac:dyDescent="0.35">
      <c r="A15" s="8" t="s">
        <v>111</v>
      </c>
      <c r="B15" s="21">
        <f>385.3*7%</f>
        <v>26.971000000000004</v>
      </c>
      <c r="C15" s="1"/>
      <c r="E15" s="27" t="s">
        <v>95</v>
      </c>
      <c r="F15" s="28">
        <v>0.7</v>
      </c>
      <c r="G15" s="28">
        <v>0.22</v>
      </c>
      <c r="H15" s="30">
        <f>B3*B8*F15*G15</f>
        <v>178.73594466345139</v>
      </c>
      <c r="I15" s="30">
        <f>H15*6/12</f>
        <v>89.367972331725696</v>
      </c>
      <c r="J15" s="31">
        <f>H15-I15</f>
        <v>89.367972331725696</v>
      </c>
    </row>
    <row r="16" spans="1:10" ht="18" customHeight="1" x14ac:dyDescent="0.35">
      <c r="A16" s="8" t="s">
        <v>82</v>
      </c>
      <c r="B16" s="21">
        <f>B11-B12</f>
        <v>80.082988193364585</v>
      </c>
      <c r="C16" s="1"/>
    </row>
    <row r="17" spans="1:3" ht="14.5" customHeight="1" x14ac:dyDescent="0.35">
      <c r="A17" s="8" t="s">
        <v>99</v>
      </c>
      <c r="B17" s="23">
        <f>-B15/12*5.5</f>
        <v>-12.361708333333334</v>
      </c>
      <c r="C17" s="1"/>
    </row>
    <row r="18" spans="1:3" ht="15.5" customHeight="1" x14ac:dyDescent="0.35">
      <c r="A18" s="8" t="s">
        <v>106</v>
      </c>
      <c r="B18" s="17">
        <f>B13+B14</f>
        <v>45.8</v>
      </c>
      <c r="C18" s="1"/>
    </row>
    <row r="19" spans="1:3" ht="17.5" customHeight="1" x14ac:dyDescent="0.35"/>
    <row r="22" spans="1:3" x14ac:dyDescent="0.35">
      <c r="A22" s="26" t="s">
        <v>84</v>
      </c>
    </row>
    <row r="23" spans="1:3" x14ac:dyDescent="0.35">
      <c r="A23" s="26" t="s">
        <v>102</v>
      </c>
    </row>
    <row r="24" spans="1:3" x14ac:dyDescent="0.35">
      <c r="A24" s="26" t="s">
        <v>85</v>
      </c>
    </row>
    <row r="25" spans="1:3" x14ac:dyDescent="0.35">
      <c r="A25" s="26" t="s">
        <v>86</v>
      </c>
    </row>
    <row r="26" spans="1:3" x14ac:dyDescent="0.35">
      <c r="A26" s="26" t="s">
        <v>87</v>
      </c>
    </row>
    <row r="27" spans="1:3" x14ac:dyDescent="0.35">
      <c r="A27" t="s">
        <v>101</v>
      </c>
    </row>
    <row r="28" spans="1:3" x14ac:dyDescent="0.35">
      <c r="A28" s="2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Ramsay (IFRS)</vt:lpstr>
      <vt:lpstr>AKDITAL</vt:lpstr>
      <vt:lpstr>pont EBITDA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Tabid</dc:creator>
  <cp:lastModifiedBy>Aya Tabid</cp:lastModifiedBy>
  <dcterms:created xsi:type="dcterms:W3CDTF">2026-08-27T08:04:51Z</dcterms:created>
  <dcterms:modified xsi:type="dcterms:W3CDTF">2026-09-15T19:43:45Z</dcterms:modified>
</cp:coreProperties>
</file>